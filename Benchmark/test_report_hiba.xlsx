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d3d347c6b4aa45/Desktop/internship/week4/"/>
    </mc:Choice>
  </mc:AlternateContent>
  <xr:revisionPtr revIDLastSave="259" documentId="8_{690AFFBF-221C-4A4F-869A-B8075EDEB0F1}" xr6:coauthVersionLast="47" xr6:coauthVersionMax="47" xr10:uidLastSave="{4247325C-9F19-4791-A965-22B7B34FB698}"/>
  <bookViews>
    <workbookView xWindow="-108" yWindow="-108" windowWidth="23256" windowHeight="12456" xr2:uid="{50EB2E4D-6BCE-4871-A299-F3534D133DB4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S5" i="1" s="1"/>
  <c r="P5" i="1"/>
  <c r="Q5" i="1" s="1"/>
  <c r="O5" i="1"/>
  <c r="R4" i="1"/>
  <c r="P4" i="1"/>
  <c r="S4" i="1" s="1"/>
  <c r="O4" i="1"/>
  <c r="R3" i="1"/>
  <c r="P3" i="1"/>
  <c r="Q3" i="1" s="1"/>
  <c r="O3" i="1"/>
  <c r="S3" i="1" l="1"/>
  <c r="Q4" i="1"/>
</calcChain>
</file>

<file path=xl/sharedStrings.xml><?xml version="1.0" encoding="utf-8"?>
<sst xmlns="http://schemas.openxmlformats.org/spreadsheetml/2006/main" count="404" uniqueCount="130">
  <si>
    <t>Sl no:</t>
  </si>
  <si>
    <t>Image name</t>
  </si>
  <si>
    <t>Category</t>
  </si>
  <si>
    <t>Baseline Confidence</t>
  </si>
  <si>
    <t>Attack success</t>
  </si>
  <si>
    <t>Defense Success</t>
  </si>
  <si>
    <t>Fox.jpeg</t>
  </si>
  <si>
    <t>Animal</t>
  </si>
  <si>
    <t>Red fox</t>
  </si>
  <si>
    <t>Hare</t>
  </si>
  <si>
    <t>red fox</t>
  </si>
  <si>
    <t>Attack type</t>
  </si>
  <si>
    <t>Pixel shift</t>
  </si>
  <si>
    <t>Baseline Label</t>
  </si>
  <si>
    <t>Attacked label</t>
  </si>
  <si>
    <t>Attcked confidence</t>
  </si>
  <si>
    <t>Defended Label</t>
  </si>
  <si>
    <t xml:space="preserve"> Defended confidence</t>
  </si>
  <si>
    <t>Prompt injection</t>
  </si>
  <si>
    <t>Tiger</t>
  </si>
  <si>
    <t>no</t>
  </si>
  <si>
    <t>Tusker</t>
  </si>
  <si>
    <t>Warthog</t>
  </si>
  <si>
    <t>cat</t>
  </si>
  <si>
    <t>Egyptian cat</t>
  </si>
  <si>
    <t>mortar</t>
  </si>
  <si>
    <t>tiger cat</t>
  </si>
  <si>
    <t>Deer</t>
  </si>
  <si>
    <t>Gazelle</t>
  </si>
  <si>
    <t>llama</t>
  </si>
  <si>
    <t>gazelle</t>
  </si>
  <si>
    <t>Giraffe</t>
  </si>
  <si>
    <t>Zebra</t>
  </si>
  <si>
    <t>hare</t>
  </si>
  <si>
    <t>Cheeta</t>
  </si>
  <si>
    <t>document</t>
  </si>
  <si>
    <t>Passport</t>
  </si>
  <si>
    <t>Document</t>
  </si>
  <si>
    <t>Book jacket</t>
  </si>
  <si>
    <t>Packet</t>
  </si>
  <si>
    <t>Windsore tie</t>
  </si>
  <si>
    <t>Yes</t>
  </si>
  <si>
    <t>No</t>
  </si>
  <si>
    <t>Umbrella</t>
  </si>
  <si>
    <t>Id card</t>
  </si>
  <si>
    <t>Website</t>
  </si>
  <si>
    <t>Envelope</t>
  </si>
  <si>
    <t>Screen</t>
  </si>
  <si>
    <t>Street sign</t>
  </si>
  <si>
    <t>Street sugn</t>
  </si>
  <si>
    <t>Stop ahead sign</t>
  </si>
  <si>
    <t>screw</t>
  </si>
  <si>
    <t>Screw</t>
  </si>
  <si>
    <t>Bus</t>
  </si>
  <si>
    <t>Vehicle</t>
  </si>
  <si>
    <t>School bus</t>
  </si>
  <si>
    <t>Moving van</t>
  </si>
  <si>
    <t>Trailer truck</t>
  </si>
  <si>
    <t>Bicycle</t>
  </si>
  <si>
    <t>Bicycle-for-two</t>
  </si>
  <si>
    <t>Mountain bike</t>
  </si>
  <si>
    <t>Tricycle</t>
  </si>
  <si>
    <t>motorbike</t>
  </si>
  <si>
    <t>vehicle</t>
  </si>
  <si>
    <t>Moped</t>
  </si>
  <si>
    <t>moped</t>
  </si>
  <si>
    <t>mpoed</t>
  </si>
  <si>
    <t>Motor scooter</t>
  </si>
  <si>
    <t>car</t>
  </si>
  <si>
    <t>sports car</t>
  </si>
  <si>
    <t>car wheel</t>
  </si>
  <si>
    <t>53.20'%</t>
  </si>
  <si>
    <t>Airplane</t>
  </si>
  <si>
    <t>Veehicle</t>
  </si>
  <si>
    <t>Airliner</t>
  </si>
  <si>
    <t>Ailiner</t>
  </si>
  <si>
    <t>Speed boat</t>
  </si>
  <si>
    <t>Seashore</t>
  </si>
  <si>
    <t>Nature</t>
  </si>
  <si>
    <t>seashore</t>
  </si>
  <si>
    <t>Lakeside</t>
  </si>
  <si>
    <t>Daisy flower</t>
  </si>
  <si>
    <t>Daisy</t>
  </si>
  <si>
    <t>daisy</t>
  </si>
  <si>
    <t>diasy</t>
  </si>
  <si>
    <t>starfish</t>
  </si>
  <si>
    <t>Bottle</t>
  </si>
  <si>
    <t>Stationary</t>
  </si>
  <si>
    <t>pill bottle</t>
  </si>
  <si>
    <t>Vase</t>
  </si>
  <si>
    <t>Pill bottle</t>
  </si>
  <si>
    <t>Soap dispenser</t>
  </si>
  <si>
    <t>eraser</t>
  </si>
  <si>
    <t>Rubber eraser</t>
  </si>
  <si>
    <t>Paint brush</t>
  </si>
  <si>
    <t>rubber eraser</t>
  </si>
  <si>
    <t>wall clock</t>
  </si>
  <si>
    <t>Watch</t>
  </si>
  <si>
    <t>Analog Clock</t>
  </si>
  <si>
    <t>Analog clock</t>
  </si>
  <si>
    <t>measuring cup</t>
  </si>
  <si>
    <t>Phone</t>
  </si>
  <si>
    <t>Devices</t>
  </si>
  <si>
    <t>Cellular phone</t>
  </si>
  <si>
    <t>ipod</t>
  </si>
  <si>
    <t>Hand-held compuer</t>
  </si>
  <si>
    <t>Parachute</t>
  </si>
  <si>
    <t>lighter</t>
  </si>
  <si>
    <t>computer</t>
  </si>
  <si>
    <t>Desktop computer</t>
  </si>
  <si>
    <t>Loud speaker</t>
  </si>
  <si>
    <t>desktop computer</t>
  </si>
  <si>
    <t>Ruler</t>
  </si>
  <si>
    <t>ski</t>
  </si>
  <si>
    <t>Desktop Computer</t>
  </si>
  <si>
    <t>N/A</t>
  </si>
  <si>
    <t>NO</t>
  </si>
  <si>
    <t>Attack vs Defense Recovery Report</t>
  </si>
  <si>
    <t>Images tested</t>
  </si>
  <si>
    <t>Attacks succeeded</t>
  </si>
  <si>
    <t>Attack success rate</t>
  </si>
  <si>
    <t>Defenses recovered</t>
  </si>
  <si>
    <t>Defense recovery rate (of successful attacks)</t>
  </si>
  <si>
    <t>Gaussian noise</t>
  </si>
  <si>
    <r>
      <rPr>
        <b/>
        <sz val="22"/>
        <color theme="1"/>
        <rFont val="Aptos Narrow"/>
        <family val="2"/>
        <scheme val="minor"/>
      </rPr>
      <t xml:space="preserve">IMAGE TESTING SPREADSHEET </t>
    </r>
    <r>
      <rPr>
        <b/>
        <sz val="11"/>
        <color theme="1"/>
        <rFont val="Aptos Narrow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Hiba Fathima K                                              </t>
    </r>
  </si>
  <si>
    <t>Elephant</t>
  </si>
  <si>
    <t>Indian Elephant</t>
  </si>
  <si>
    <t>Indian elephant</t>
  </si>
  <si>
    <t>African elephant</t>
  </si>
  <si>
    <t>Gaussian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</si>
</sst>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8"/>
      <name val="Arial"/>
      <family val="2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3" xfId="0" applyNumberFormat="1" applyBorder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0" xfId="0" applyFont="1" applyBorder="1"/>
    <xf numFmtId="164" fontId="4" fillId="0" borderId="0" xfId="0" applyNumberFormat="1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Attack Success Rate by Attack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989236998587089E-2"/>
          <c:y val="0.12182223243859987"/>
          <c:w val="0.88531238014038194"/>
          <c:h val="0.771433294344368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Sheet1!$N$3:$N$5</c:f>
              <c:strCache>
                <c:ptCount val="3"/>
                <c:pt idx="0">
                  <c:v>Gaussian noise</c:v>
                </c:pt>
                <c:pt idx="1">
                  <c:v>Pixel shift</c:v>
                </c:pt>
                <c:pt idx="2">
                  <c:v>Prompt injection</c:v>
                </c:pt>
              </c:strCache>
            </c:strRef>
          </c:cat>
          <c:val>
            <c:numRef>
              <c:f>Sheet1!$Q$3:$Q$5</c:f>
              <c:numCache>
                <c:formatCode>0.0%</c:formatCode>
                <c:ptCount val="3"/>
                <c:pt idx="0">
                  <c:v>0.6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5-427F-AF74-774833B8C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689904"/>
        <c:axId val="875599120"/>
      </c:barChart>
      <c:catAx>
        <c:axId val="92668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99120"/>
        <c:crosses val="autoZero"/>
        <c:auto val="1"/>
        <c:lblAlgn val="ctr"/>
        <c:lblOffset val="100"/>
        <c:noMultiLvlLbl val="0"/>
      </c:catAx>
      <c:valAx>
        <c:axId val="8755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68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tx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Defense Recovery Rate by Attack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Sheet1!$N$3:$N$5</c:f>
              <c:strCache>
                <c:ptCount val="3"/>
                <c:pt idx="0">
                  <c:v>Gaussian noise</c:v>
                </c:pt>
                <c:pt idx="1">
                  <c:v>Pixel shift</c:v>
                </c:pt>
                <c:pt idx="2">
                  <c:v>Prompt injection</c:v>
                </c:pt>
              </c:strCache>
            </c:strRef>
          </c:cat>
          <c:val>
            <c:numRef>
              <c:f>Sheet1!$S$3:$S$5</c:f>
              <c:numCache>
                <c:formatCode>0.0%</c:formatCode>
                <c:ptCount val="3"/>
                <c:pt idx="0">
                  <c:v>0.75</c:v>
                </c:pt>
                <c:pt idx="1">
                  <c:v>0.75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5-47EB-89DC-8FFB72942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681552"/>
        <c:axId val="875589040"/>
      </c:barChart>
      <c:catAx>
        <c:axId val="92668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89040"/>
        <c:crosses val="autoZero"/>
        <c:auto val="1"/>
        <c:lblAlgn val="ctr"/>
        <c:lblOffset val="100"/>
        <c:noMultiLvlLbl val="0"/>
      </c:catAx>
      <c:valAx>
        <c:axId val="87558904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85000"/>
                </a:schemeClr>
              </a:solidFill>
              <a:prstDash val="solid"/>
              <a:miter lim="800000"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68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Attack</a:t>
            </a:r>
            <a:r>
              <a:rPr lang="en-IN" sz="1800" b="1" baseline="0"/>
              <a:t> vs Defense success rate</a:t>
            </a:r>
          </a:p>
          <a:p>
            <a:pPr>
              <a:defRPr sz="1800" b="1"/>
            </a:pPr>
            <a:endParaRPr lang="en-IN" sz="1800" b="1"/>
          </a:p>
        </c:rich>
      </c:tx>
      <c:layout>
        <c:manualLayout>
          <c:xMode val="edge"/>
          <c:yMode val="edge"/>
          <c:x val="0.2702012248468941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Sheet1!$Q$2</c:f>
              <c:strCache>
                <c:ptCount val="1"/>
                <c:pt idx="0">
                  <c:v>Attack success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Sheet1!$N$3:$N$5</c:f>
              <c:strCache>
                <c:ptCount val="3"/>
                <c:pt idx="0">
                  <c:v>Gaussian noise</c:v>
                </c:pt>
                <c:pt idx="1">
                  <c:v>Pixel shift</c:v>
                </c:pt>
                <c:pt idx="2">
                  <c:v>Prompt injection</c:v>
                </c:pt>
              </c:strCache>
            </c:strRef>
          </c:cat>
          <c:val>
            <c:numRef>
              <c:f>Sheet1!$Q$3:$Q$5</c:f>
              <c:numCache>
                <c:formatCode>0.0%</c:formatCode>
                <c:ptCount val="3"/>
                <c:pt idx="0">
                  <c:v>0.6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6-467D-B620-95A29DC76E0E}"/>
            </c:ext>
          </c:extLst>
        </c:ser>
        <c:ser>
          <c:idx val="1"/>
          <c:order val="1"/>
          <c:tx>
            <c:strRef>
              <c:f>Sheet1!$S$2</c:f>
              <c:strCache>
                <c:ptCount val="1"/>
                <c:pt idx="0">
                  <c:v>Defense recovery rate (of successful attacks)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Sheet1!$N$3:$N$5</c:f>
              <c:strCache>
                <c:ptCount val="3"/>
                <c:pt idx="0">
                  <c:v>Gaussian noise</c:v>
                </c:pt>
                <c:pt idx="1">
                  <c:v>Pixel shift</c:v>
                </c:pt>
                <c:pt idx="2">
                  <c:v>Prompt injection</c:v>
                </c:pt>
              </c:strCache>
            </c:strRef>
          </c:cat>
          <c:val>
            <c:numRef>
              <c:f>Sheet1!$S$3:$S$5</c:f>
              <c:numCache>
                <c:formatCode>0.0%</c:formatCode>
                <c:ptCount val="3"/>
                <c:pt idx="0">
                  <c:v>0.75</c:v>
                </c:pt>
                <c:pt idx="1">
                  <c:v>0.75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36-467D-B620-95A29DC76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1415216"/>
        <c:axId val="875663920"/>
      </c:barChart>
      <c:catAx>
        <c:axId val="10914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663920"/>
        <c:crosses val="autoZero"/>
        <c:auto val="1"/>
        <c:lblAlgn val="ctr"/>
        <c:lblOffset val="100"/>
        <c:noMultiLvlLbl val="0"/>
      </c:catAx>
      <c:valAx>
        <c:axId val="87566392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85000"/>
                </a:schemeClr>
              </a:solidFill>
              <a:prstDash val="solid"/>
              <a:miter lim="800000"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41521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90000"/>
          <a:lumOff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31749</xdr:colOff>
      <xdr:row>5</xdr:row>
      <xdr:rowOff>274107</xdr:rowOff>
    </xdr:from>
    <xdr:to>
      <xdr:col>19</xdr:col>
      <xdr:colOff>31750</xdr:colOff>
      <xdr:row>10</xdr:row>
      <xdr:rowOff>497415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72BAD8-992D-C5CF-C364-71A9C57E9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11</xdr:row>
      <xdr:rowOff>178858</xdr:rowOff>
    </xdr:from>
    <xdr:to>
      <xdr:col>19</xdr:col>
      <xdr:colOff>10584</xdr:colOff>
      <xdr:row>18</xdr:row>
      <xdr:rowOff>541662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F355F7-4E5E-5AB2-4557-6A8B58517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594068</xdr:colOff>
      <xdr:row>21</xdr:row>
      <xdr:rowOff>81952</xdr:rowOff>
    </xdr:from>
    <xdr:to>
      <xdr:col>19</xdr:col>
      <xdr:colOff>1403</xdr:colOff>
      <xdr:row>27</xdr:row>
      <xdr:rowOff>546892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F44D95-F83F-0E4C-0F57-0A44A69E2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6d3d347c6b4aa45/Desktop/internship/week4/week4_attack_defense_report.xlsx" TargetMode="External"/><Relationship Id="rId1" Type="http://schemas.openxmlformats.org/officeDocument/2006/relationships/externalLinkPath" Target="week4/week4_attack_defense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ummary"/>
    </sheetNames>
    <sheetDataSet>
      <sheetData sheetId="0" refreshError="1"/>
      <sheetData sheetId="1" refreshError="1">
        <row r="5">
          <cell r="D5" t="str">
            <v>Attack success rate</v>
          </cell>
          <cell r="F5" t="str">
            <v>Defense recovery rate (of successful attacks)</v>
          </cell>
        </row>
        <row r="6">
          <cell r="A6" t="str">
            <v>Gaussian noise</v>
          </cell>
          <cell r="D6">
            <v>0.6</v>
          </cell>
          <cell r="F6">
            <v>0.75</v>
          </cell>
        </row>
        <row r="7">
          <cell r="A7" t="str">
            <v>Pixel shift</v>
          </cell>
          <cell r="D7">
            <v>1</v>
          </cell>
          <cell r="F7">
            <v>0.75</v>
          </cell>
        </row>
        <row r="8">
          <cell r="A8" t="str">
            <v>Prompt injection</v>
          </cell>
          <cell r="D8">
            <v>0</v>
          </cell>
          <cell r="F8" t="str">
            <v>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7D24-3531-45FB-BA2A-CB41818BD120}">
  <sheetPr>
    <tabColor theme="6" tint="0.59999389629810485"/>
  </sheetPr>
  <dimension ref="A1:T62"/>
  <sheetViews>
    <sheetView tabSelected="1" topLeftCell="K3" zoomScale="83" workbookViewId="0">
      <selection activeCell="Y7" sqref="Y7"/>
    </sheetView>
  </sheetViews>
  <sheetFormatPr defaultRowHeight="14.4" x14ac:dyDescent="0.3"/>
  <cols>
    <col min="1" max="4" width="8.88671875" style="3"/>
    <col min="5" max="5" width="11.44140625" style="3" customWidth="1"/>
    <col min="6" max="6" width="8.88671875" style="8"/>
    <col min="7" max="7" width="8.88671875" style="3"/>
    <col min="8" max="8" width="11.109375" style="3" customWidth="1"/>
    <col min="9" max="9" width="8.88671875" style="3" customWidth="1"/>
    <col min="10" max="10" width="8.88671875" style="3"/>
    <col min="11" max="11" width="11" style="3" customWidth="1"/>
    <col min="12" max="12" width="8.88671875" style="3"/>
    <col min="13" max="13" width="8.88671875" style="14"/>
    <col min="14" max="14" width="16.21875" customWidth="1"/>
    <col min="15" max="15" width="12.109375" customWidth="1"/>
    <col min="16" max="16" width="17.44140625" customWidth="1"/>
    <col min="17" max="17" width="10.33203125" customWidth="1"/>
    <col min="18" max="18" width="12.5546875" customWidth="1"/>
    <col min="19" max="19" width="17.44140625" customWidth="1"/>
  </cols>
  <sheetData>
    <row r="1" spans="1:19" ht="59.4" customHeight="1" x14ac:dyDescent="0.3">
      <c r="A1" s="18" t="s">
        <v>124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  <c r="N1" s="13" t="s">
        <v>117</v>
      </c>
      <c r="O1" s="13"/>
      <c r="P1" s="13"/>
      <c r="Q1" s="13"/>
      <c r="R1" s="13"/>
      <c r="S1" s="13"/>
    </row>
    <row r="2" spans="1:19" ht="62.4" customHeight="1" x14ac:dyDescent="0.3">
      <c r="A2" s="7" t="s">
        <v>0</v>
      </c>
      <c r="B2" s="7" t="s">
        <v>1</v>
      </c>
      <c r="C2" s="7" t="s">
        <v>2</v>
      </c>
      <c r="D2" s="7" t="s">
        <v>13</v>
      </c>
      <c r="E2" s="7" t="s">
        <v>3</v>
      </c>
      <c r="F2" s="7" t="s">
        <v>11</v>
      </c>
      <c r="G2" s="7" t="s">
        <v>14</v>
      </c>
      <c r="H2" s="7" t="s">
        <v>15</v>
      </c>
      <c r="I2" s="7" t="s">
        <v>4</v>
      </c>
      <c r="J2" s="7" t="s">
        <v>16</v>
      </c>
      <c r="K2" s="7" t="s">
        <v>17</v>
      </c>
      <c r="L2" s="9" t="s">
        <v>5</v>
      </c>
      <c r="N2" s="11" t="s">
        <v>11</v>
      </c>
      <c r="O2" s="4" t="s">
        <v>118</v>
      </c>
      <c r="P2" s="4" t="s">
        <v>119</v>
      </c>
      <c r="Q2" s="4" t="s">
        <v>120</v>
      </c>
      <c r="R2" s="4" t="s">
        <v>121</v>
      </c>
      <c r="S2" s="4" t="s">
        <v>122</v>
      </c>
    </row>
    <row r="3" spans="1:19" ht="47.4" customHeight="1" x14ac:dyDescent="0.3">
      <c r="A3" s="15">
        <v>1</v>
      </c>
      <c r="B3" s="15" t="s">
        <v>6</v>
      </c>
      <c r="C3" s="15" t="s">
        <v>7</v>
      </c>
      <c r="D3" s="15" t="s">
        <v>8</v>
      </c>
      <c r="E3" s="17">
        <v>0.88380000000000003</v>
      </c>
      <c r="F3" s="7" t="s">
        <v>129</v>
      </c>
      <c r="G3" s="1" t="s">
        <v>9</v>
      </c>
      <c r="H3" s="2">
        <v>0.1719</v>
      </c>
      <c r="I3" s="1" t="s">
        <v>41</v>
      </c>
      <c r="J3" s="1" t="s">
        <v>10</v>
      </c>
      <c r="K3" s="2">
        <v>0.30020000000000002</v>
      </c>
      <c r="L3" s="10" t="s">
        <v>41</v>
      </c>
      <c r="N3" s="12" t="s">
        <v>123</v>
      </c>
      <c r="O3" s="5">
        <f>COUNTIF($F$2:$F$61,N3)</f>
        <v>20</v>
      </c>
      <c r="P3" s="5">
        <f>COUNTIFS($F$2:$F$61,N3,$I$2:$I$61,"Yes")</f>
        <v>12</v>
      </c>
      <c r="Q3" s="6">
        <f>IFERROR(P3/O3,0)</f>
        <v>0.6</v>
      </c>
      <c r="R3" s="5">
        <f>COUNTIFS($F$2:$F$61,N3,$I$2:$I$61,"Yes",$L$2:$L$61,"Yes")</f>
        <v>9</v>
      </c>
      <c r="S3" s="6">
        <f>IFERROR(R3/P3,0)</f>
        <v>0.75</v>
      </c>
    </row>
    <row r="4" spans="1:19" ht="37.799999999999997" customHeight="1" x14ac:dyDescent="0.3">
      <c r="A4" s="16"/>
      <c r="B4" s="16"/>
      <c r="C4" s="16"/>
      <c r="D4" s="16"/>
      <c r="E4" s="16"/>
      <c r="F4" s="7" t="s">
        <v>12</v>
      </c>
      <c r="G4" s="1" t="s">
        <v>19</v>
      </c>
      <c r="H4" s="2">
        <v>0.15790000000000001</v>
      </c>
      <c r="I4" s="1" t="s">
        <v>41</v>
      </c>
      <c r="J4" s="1" t="s">
        <v>10</v>
      </c>
      <c r="K4" s="2">
        <v>0.64419999999999999</v>
      </c>
      <c r="L4" s="10" t="s">
        <v>41</v>
      </c>
      <c r="N4" s="12" t="s">
        <v>12</v>
      </c>
      <c r="O4" s="5">
        <f>COUNTIF($F$2:$F$61,N4)</f>
        <v>20</v>
      </c>
      <c r="P4" s="5">
        <f>COUNTIFS($F$2:$F$61,N4,$I$2:$I$61,"Yes")</f>
        <v>20</v>
      </c>
      <c r="Q4" s="6">
        <f>IFERROR(P4/O4,0)</f>
        <v>1</v>
      </c>
      <c r="R4" s="5">
        <f>COUNTIFS($F$2:$F$61,N4,$I$2:$I$61,"Yes",$L$2:$L$61,"Yes")</f>
        <v>15</v>
      </c>
      <c r="S4" s="6">
        <f>IFERROR(R4/P4,0)</f>
        <v>0.75</v>
      </c>
    </row>
    <row r="5" spans="1:19" ht="40.200000000000003" customHeight="1" x14ac:dyDescent="0.3">
      <c r="A5" s="20"/>
      <c r="B5" s="16"/>
      <c r="C5" s="16"/>
      <c r="D5" s="16"/>
      <c r="E5" s="16"/>
      <c r="F5" s="7" t="s">
        <v>18</v>
      </c>
      <c r="G5" s="1" t="s">
        <v>8</v>
      </c>
      <c r="H5" s="2">
        <v>0.88380000000000003</v>
      </c>
      <c r="I5" s="1" t="s">
        <v>116</v>
      </c>
      <c r="J5" s="1" t="s">
        <v>115</v>
      </c>
      <c r="K5" s="1" t="s">
        <v>115</v>
      </c>
      <c r="L5" s="10" t="s">
        <v>115</v>
      </c>
      <c r="N5" s="12" t="s">
        <v>18</v>
      </c>
      <c r="O5" s="5">
        <f>COUNTIF($F$2:$F$62,N5)</f>
        <v>20</v>
      </c>
      <c r="P5" s="5">
        <f>COUNTIFS($F$2:$F$62,N5,$I$2:$I$62,"Yes")</f>
        <v>0</v>
      </c>
      <c r="Q5" s="6">
        <f>IFERROR(P5/O5,0)</f>
        <v>0</v>
      </c>
      <c r="R5" s="5">
        <f>COUNTIFS($F$2:$F$62,N5,$I$2:$I$62,"Yes",$L$2:$L$62,"Yes")</f>
        <v>0</v>
      </c>
      <c r="S5" s="6">
        <f>IFERROR(R5/P5,0)</f>
        <v>0</v>
      </c>
    </row>
    <row r="6" spans="1:19" ht="75.599999999999994" customHeight="1" x14ac:dyDescent="0.3">
      <c r="A6" s="15">
        <v>2</v>
      </c>
      <c r="B6" s="15" t="s">
        <v>125</v>
      </c>
      <c r="C6" s="15" t="s">
        <v>7</v>
      </c>
      <c r="D6" s="15" t="s">
        <v>126</v>
      </c>
      <c r="E6" s="17">
        <v>0.74590000000000001</v>
      </c>
      <c r="F6" s="7" t="s">
        <v>129</v>
      </c>
      <c r="G6" s="1" t="s">
        <v>21</v>
      </c>
      <c r="H6" s="1">
        <v>40.83</v>
      </c>
      <c r="I6" s="1" t="s">
        <v>41</v>
      </c>
      <c r="J6" s="1" t="s">
        <v>127</v>
      </c>
      <c r="K6" s="2">
        <v>0.5111</v>
      </c>
      <c r="L6" s="10" t="s">
        <v>41</v>
      </c>
    </row>
    <row r="7" spans="1:19" ht="43.2" customHeight="1" x14ac:dyDescent="0.3">
      <c r="A7" s="16"/>
      <c r="B7" s="16"/>
      <c r="C7" s="16"/>
      <c r="D7" s="16"/>
      <c r="E7" s="16"/>
      <c r="F7" s="7" t="s">
        <v>12</v>
      </c>
      <c r="G7" s="1" t="s">
        <v>22</v>
      </c>
      <c r="H7" s="2">
        <v>0.37490000000000001</v>
      </c>
      <c r="I7" s="1" t="s">
        <v>41</v>
      </c>
      <c r="J7" s="1" t="s">
        <v>128</v>
      </c>
      <c r="K7" s="2">
        <v>0.36070000000000002</v>
      </c>
      <c r="L7" s="10" t="s">
        <v>41</v>
      </c>
    </row>
    <row r="8" spans="1:19" ht="42.6" customHeight="1" x14ac:dyDescent="0.3">
      <c r="A8" s="20"/>
      <c r="B8" s="20"/>
      <c r="C8" s="20"/>
      <c r="D8" s="20"/>
      <c r="E8" s="20"/>
      <c r="F8" s="7" t="s">
        <v>18</v>
      </c>
      <c r="G8" s="1" t="s">
        <v>126</v>
      </c>
      <c r="H8" s="2">
        <v>0.74590000000000001</v>
      </c>
      <c r="I8" s="1" t="s">
        <v>116</v>
      </c>
      <c r="J8" s="1" t="s">
        <v>115</v>
      </c>
      <c r="K8" s="1" t="s">
        <v>115</v>
      </c>
      <c r="L8" s="10" t="s">
        <v>115</v>
      </c>
    </row>
    <row r="9" spans="1:19" ht="43.8" customHeight="1" x14ac:dyDescent="0.3">
      <c r="A9" s="15">
        <v>3</v>
      </c>
      <c r="B9" s="15" t="s">
        <v>23</v>
      </c>
      <c r="C9" s="15" t="s">
        <v>7</v>
      </c>
      <c r="D9" s="15" t="s">
        <v>24</v>
      </c>
      <c r="E9" s="17">
        <v>0.45600000000000002</v>
      </c>
      <c r="F9" s="7" t="s">
        <v>129</v>
      </c>
      <c r="G9" s="1" t="s">
        <v>25</v>
      </c>
      <c r="H9" s="2">
        <v>0.3301</v>
      </c>
      <c r="I9" s="1" t="s">
        <v>41</v>
      </c>
      <c r="J9" s="1" t="s">
        <v>24</v>
      </c>
      <c r="K9" s="2">
        <v>0.3574</v>
      </c>
      <c r="L9" s="10" t="s">
        <v>41</v>
      </c>
    </row>
    <row r="10" spans="1:19" ht="40.200000000000003" customHeight="1" x14ac:dyDescent="0.3">
      <c r="A10" s="16"/>
      <c r="B10" s="16"/>
      <c r="C10" s="16"/>
      <c r="D10" s="16"/>
      <c r="E10" s="21"/>
      <c r="F10" s="7" t="s">
        <v>12</v>
      </c>
      <c r="G10" s="1" t="s">
        <v>26</v>
      </c>
      <c r="H10" s="2">
        <v>0.64559999999999995</v>
      </c>
      <c r="I10" s="1" t="s">
        <v>41</v>
      </c>
      <c r="J10" s="1" t="s">
        <v>24</v>
      </c>
      <c r="K10" s="2">
        <v>0.37580000000000002</v>
      </c>
      <c r="L10" s="10" t="s">
        <v>41</v>
      </c>
    </row>
    <row r="11" spans="1:19" ht="43.2" customHeight="1" x14ac:dyDescent="0.3">
      <c r="A11" s="20"/>
      <c r="B11" s="20"/>
      <c r="C11" s="20"/>
      <c r="D11" s="20"/>
      <c r="E11" s="22"/>
      <c r="F11" s="7" t="s">
        <v>18</v>
      </c>
      <c r="G11" s="1" t="s">
        <v>24</v>
      </c>
      <c r="H11" s="2">
        <v>0.45600000000000002</v>
      </c>
      <c r="I11" s="1" t="s">
        <v>116</v>
      </c>
      <c r="J11" s="1" t="s">
        <v>115</v>
      </c>
      <c r="K11" s="1" t="s">
        <v>115</v>
      </c>
      <c r="L11" s="10" t="s">
        <v>115</v>
      </c>
    </row>
    <row r="12" spans="1:19" ht="43.2" customHeight="1" x14ac:dyDescent="0.3">
      <c r="A12" s="15">
        <v>4</v>
      </c>
      <c r="B12" s="15" t="s">
        <v>27</v>
      </c>
      <c r="C12" s="15" t="s">
        <v>7</v>
      </c>
      <c r="D12" s="15" t="s">
        <v>28</v>
      </c>
      <c r="E12" s="17">
        <v>0.50149999999999995</v>
      </c>
      <c r="F12" s="7" t="s">
        <v>129</v>
      </c>
      <c r="G12" s="1" t="s">
        <v>28</v>
      </c>
      <c r="H12" s="2">
        <v>0.36570000000000003</v>
      </c>
      <c r="I12" s="1" t="s">
        <v>116</v>
      </c>
      <c r="J12" s="1" t="s">
        <v>28</v>
      </c>
      <c r="K12" s="2">
        <v>0.45129999999999998</v>
      </c>
      <c r="L12" s="10" t="s">
        <v>115</v>
      </c>
    </row>
    <row r="13" spans="1:19" ht="43.2" customHeight="1" x14ac:dyDescent="0.3">
      <c r="A13" s="16"/>
      <c r="B13" s="16"/>
      <c r="C13" s="16"/>
      <c r="D13" s="16"/>
      <c r="E13" s="21"/>
      <c r="F13" s="7" t="s">
        <v>12</v>
      </c>
      <c r="G13" s="1" t="s">
        <v>29</v>
      </c>
      <c r="H13" s="2">
        <v>0.89129999999999998</v>
      </c>
      <c r="I13" s="1" t="s">
        <v>41</v>
      </c>
      <c r="J13" s="1" t="s">
        <v>28</v>
      </c>
      <c r="K13" s="2">
        <v>0.20130000000000001</v>
      </c>
      <c r="L13" s="10" t="s">
        <v>41</v>
      </c>
    </row>
    <row r="14" spans="1:19" ht="43.2" customHeight="1" x14ac:dyDescent="0.3">
      <c r="A14" s="20"/>
      <c r="B14" s="20"/>
      <c r="C14" s="20"/>
      <c r="D14" s="20"/>
      <c r="E14" s="22"/>
      <c r="F14" s="7" t="s">
        <v>18</v>
      </c>
      <c r="G14" s="1" t="s">
        <v>30</v>
      </c>
      <c r="H14" s="2">
        <v>0.50139999999999996</v>
      </c>
      <c r="I14" s="1" t="s">
        <v>116</v>
      </c>
      <c r="J14" s="1" t="s">
        <v>115</v>
      </c>
      <c r="K14" s="1" t="s">
        <v>115</v>
      </c>
      <c r="L14" s="10" t="s">
        <v>115</v>
      </c>
    </row>
    <row r="15" spans="1:19" ht="42.6" customHeight="1" x14ac:dyDescent="0.3">
      <c r="A15" s="15">
        <v>5</v>
      </c>
      <c r="B15" s="15" t="s">
        <v>31</v>
      </c>
      <c r="C15" s="15" t="s">
        <v>7</v>
      </c>
      <c r="D15" s="15" t="s">
        <v>32</v>
      </c>
      <c r="E15" s="17">
        <v>0.47439999999999999</v>
      </c>
      <c r="F15" s="7" t="s">
        <v>129</v>
      </c>
      <c r="G15" s="1" t="s">
        <v>32</v>
      </c>
      <c r="H15" s="2">
        <v>0.25519999999999998</v>
      </c>
      <c r="I15" s="1" t="s">
        <v>116</v>
      </c>
      <c r="J15" s="1" t="s">
        <v>32</v>
      </c>
      <c r="K15" s="2">
        <v>0.32340000000000002</v>
      </c>
      <c r="L15" s="10" t="s">
        <v>115</v>
      </c>
    </row>
    <row r="16" spans="1:19" ht="43.2" customHeight="1" x14ac:dyDescent="0.3">
      <c r="A16" s="16"/>
      <c r="B16" s="16"/>
      <c r="C16" s="16"/>
      <c r="D16" s="16"/>
      <c r="E16" s="21"/>
      <c r="F16" s="7" t="s">
        <v>12</v>
      </c>
      <c r="G16" s="1" t="s">
        <v>33</v>
      </c>
      <c r="H16" s="2">
        <v>0.40620000000000001</v>
      </c>
      <c r="I16" s="1" t="s">
        <v>41</v>
      </c>
      <c r="J16" s="1" t="s">
        <v>34</v>
      </c>
      <c r="K16" s="2">
        <v>0.55449999999999999</v>
      </c>
      <c r="L16" s="10" t="s">
        <v>116</v>
      </c>
    </row>
    <row r="17" spans="1:20" ht="43.2" customHeight="1" x14ac:dyDescent="0.3">
      <c r="A17" s="20"/>
      <c r="B17" s="20"/>
      <c r="C17" s="20"/>
      <c r="D17" s="20"/>
      <c r="E17" s="22"/>
      <c r="F17" s="7" t="s">
        <v>18</v>
      </c>
      <c r="G17" s="1" t="s">
        <v>32</v>
      </c>
      <c r="H17" s="2">
        <v>0.47439999999999999</v>
      </c>
      <c r="I17" s="1" t="s">
        <v>116</v>
      </c>
      <c r="J17" s="1" t="s">
        <v>115</v>
      </c>
      <c r="K17" s="1" t="s">
        <v>115</v>
      </c>
      <c r="L17" s="10" t="s">
        <v>115</v>
      </c>
    </row>
    <row r="18" spans="1:20" ht="43.8" customHeight="1" x14ac:dyDescent="0.3">
      <c r="A18" s="15">
        <v>6</v>
      </c>
      <c r="B18" s="1" t="s">
        <v>36</v>
      </c>
      <c r="C18" s="1" t="s">
        <v>37</v>
      </c>
      <c r="D18" s="1" t="s">
        <v>38</v>
      </c>
      <c r="E18" s="2">
        <v>0.4355</v>
      </c>
      <c r="F18" s="7" t="s">
        <v>129</v>
      </c>
      <c r="G18" s="1" t="s">
        <v>39</v>
      </c>
      <c r="H18" s="2">
        <v>0.32229999999999998</v>
      </c>
      <c r="I18" s="1" t="s">
        <v>41</v>
      </c>
      <c r="J18" s="1" t="s">
        <v>40</v>
      </c>
      <c r="K18" s="1">
        <v>10.29</v>
      </c>
      <c r="L18" s="10" t="s">
        <v>42</v>
      </c>
    </row>
    <row r="19" spans="1:20" ht="43.2" customHeight="1" x14ac:dyDescent="0.3">
      <c r="A19" s="16"/>
      <c r="B19" s="1"/>
      <c r="C19" s="1"/>
      <c r="D19" s="1"/>
      <c r="E19" s="1"/>
      <c r="F19" s="7" t="s">
        <v>12</v>
      </c>
      <c r="G19" s="1" t="s">
        <v>43</v>
      </c>
      <c r="H19" s="2">
        <v>5.4699999999999999E-2</v>
      </c>
      <c r="I19" s="1" t="s">
        <v>41</v>
      </c>
      <c r="J19" s="1" t="s">
        <v>39</v>
      </c>
      <c r="K19" s="2">
        <v>0.106</v>
      </c>
      <c r="L19" s="10" t="s">
        <v>42</v>
      </c>
      <c r="M19" s="26"/>
      <c r="N19" s="27"/>
      <c r="O19" s="27"/>
      <c r="P19" s="27"/>
      <c r="Q19" s="28"/>
      <c r="R19" s="27"/>
      <c r="S19" s="28"/>
      <c r="T19" s="29"/>
    </row>
    <row r="20" spans="1:20" ht="43.2" customHeight="1" x14ac:dyDescent="0.3">
      <c r="A20" s="20"/>
      <c r="B20" s="1"/>
      <c r="C20" s="1"/>
      <c r="D20" s="1"/>
      <c r="E20" s="1"/>
      <c r="F20" s="7" t="s">
        <v>18</v>
      </c>
      <c r="G20" s="1" t="s">
        <v>38</v>
      </c>
      <c r="H20" s="2">
        <v>0.4355</v>
      </c>
      <c r="I20" s="1" t="s">
        <v>116</v>
      </c>
      <c r="J20" s="1" t="s">
        <v>115</v>
      </c>
      <c r="K20" s="1" t="s">
        <v>115</v>
      </c>
      <c r="L20" s="10" t="s">
        <v>115</v>
      </c>
      <c r="M20" s="26"/>
      <c r="N20" s="29"/>
      <c r="O20" s="29"/>
      <c r="P20" s="29"/>
      <c r="Q20" s="29"/>
      <c r="R20" s="29"/>
      <c r="S20" s="29"/>
      <c r="T20" s="29"/>
    </row>
    <row r="21" spans="1:20" ht="28.8" x14ac:dyDescent="0.3">
      <c r="A21" s="15">
        <v>7</v>
      </c>
      <c r="B21" s="15" t="s">
        <v>44</v>
      </c>
      <c r="C21" s="15" t="s">
        <v>35</v>
      </c>
      <c r="D21" s="15" t="s">
        <v>45</v>
      </c>
      <c r="E21" s="17">
        <v>0.97819999999999996</v>
      </c>
      <c r="F21" s="7" t="s">
        <v>129</v>
      </c>
      <c r="G21" s="1" t="s">
        <v>46</v>
      </c>
      <c r="H21" s="2">
        <v>0.67259999999999998</v>
      </c>
      <c r="I21" s="1" t="s">
        <v>41</v>
      </c>
      <c r="J21" s="1" t="s">
        <v>46</v>
      </c>
      <c r="K21" s="2">
        <v>0.13980000000000001</v>
      </c>
      <c r="L21" s="10" t="s">
        <v>42</v>
      </c>
    </row>
    <row r="22" spans="1:20" ht="43.8" customHeight="1" x14ac:dyDescent="0.3">
      <c r="A22" s="16"/>
      <c r="B22" s="16"/>
      <c r="C22" s="16"/>
      <c r="D22" s="16"/>
      <c r="E22" s="21"/>
      <c r="F22" s="7" t="s">
        <v>12</v>
      </c>
      <c r="G22" s="1" t="s">
        <v>47</v>
      </c>
      <c r="H22" s="2">
        <v>9.5000000000000001E-2</v>
      </c>
      <c r="I22" s="1" t="s">
        <v>41</v>
      </c>
      <c r="J22" s="1" t="s">
        <v>45</v>
      </c>
      <c r="K22" s="2">
        <v>5.21E-2</v>
      </c>
      <c r="L22" s="10" t="s">
        <v>41</v>
      </c>
    </row>
    <row r="23" spans="1:20" ht="43.8" customHeight="1" x14ac:dyDescent="0.3">
      <c r="A23" s="20"/>
      <c r="B23" s="20"/>
      <c r="C23" s="20"/>
      <c r="D23" s="20"/>
      <c r="E23" s="22"/>
      <c r="F23" s="7" t="s">
        <v>18</v>
      </c>
      <c r="G23" s="1" t="s">
        <v>45</v>
      </c>
      <c r="H23" s="2">
        <v>0.97819999999999996</v>
      </c>
      <c r="I23" s="1" t="s">
        <v>116</v>
      </c>
      <c r="J23" s="1" t="s">
        <v>115</v>
      </c>
      <c r="K23" s="1" t="s">
        <v>115</v>
      </c>
      <c r="L23" s="10" t="s">
        <v>115</v>
      </c>
    </row>
    <row r="24" spans="1:20" ht="43.8" customHeight="1" x14ac:dyDescent="0.3">
      <c r="A24" s="23">
        <v>8</v>
      </c>
      <c r="B24" s="15" t="s">
        <v>50</v>
      </c>
      <c r="C24" s="15" t="s">
        <v>49</v>
      </c>
      <c r="D24" s="15" t="s">
        <v>48</v>
      </c>
      <c r="E24" s="17">
        <v>0.91849999999999998</v>
      </c>
      <c r="F24" s="7" t="s">
        <v>129</v>
      </c>
      <c r="G24" s="1" t="s">
        <v>48</v>
      </c>
      <c r="H24" s="2">
        <v>0.87180000000000002</v>
      </c>
      <c r="I24" s="1" t="s">
        <v>20</v>
      </c>
      <c r="J24" s="1" t="s">
        <v>48</v>
      </c>
      <c r="K24" s="2">
        <v>0.82089999999999996</v>
      </c>
      <c r="L24" s="10" t="s">
        <v>20</v>
      </c>
    </row>
    <row r="25" spans="1:20" ht="43.8" customHeight="1" x14ac:dyDescent="0.3">
      <c r="A25" s="24"/>
      <c r="B25" s="16"/>
      <c r="C25" s="16"/>
      <c r="D25" s="16"/>
      <c r="E25" s="21"/>
      <c r="F25" s="7" t="s">
        <v>12</v>
      </c>
      <c r="G25" s="1" t="s">
        <v>51</v>
      </c>
      <c r="H25" s="2">
        <v>0.66720000000000002</v>
      </c>
      <c r="I25" s="1" t="s">
        <v>41</v>
      </c>
      <c r="J25" s="1" t="s">
        <v>52</v>
      </c>
      <c r="K25" s="2">
        <v>0.83430000000000004</v>
      </c>
      <c r="L25" s="10" t="s">
        <v>116</v>
      </c>
    </row>
    <row r="26" spans="1:20" ht="43.8" customHeight="1" x14ac:dyDescent="0.3">
      <c r="A26" s="25"/>
      <c r="B26" s="20"/>
      <c r="C26" s="20"/>
      <c r="D26" s="20"/>
      <c r="E26" s="22"/>
      <c r="F26" s="7" t="s">
        <v>18</v>
      </c>
      <c r="G26" s="1" t="s">
        <v>48</v>
      </c>
      <c r="H26" s="2">
        <v>0.91849999999999998</v>
      </c>
      <c r="I26" s="1" t="s">
        <v>116</v>
      </c>
      <c r="J26" s="1" t="s">
        <v>115</v>
      </c>
      <c r="K26" s="1" t="s">
        <v>115</v>
      </c>
      <c r="L26" s="10" t="s">
        <v>115</v>
      </c>
    </row>
    <row r="27" spans="1:20" ht="43.2" customHeight="1" x14ac:dyDescent="0.3">
      <c r="A27" s="15">
        <v>9</v>
      </c>
      <c r="B27" s="15" t="s">
        <v>53</v>
      </c>
      <c r="C27" s="15" t="s">
        <v>54</v>
      </c>
      <c r="D27" s="15" t="s">
        <v>55</v>
      </c>
      <c r="E27" s="17">
        <v>0.92279999999999995</v>
      </c>
      <c r="F27" s="7" t="s">
        <v>129</v>
      </c>
      <c r="G27" s="1" t="s">
        <v>56</v>
      </c>
      <c r="H27" s="2">
        <v>0.45850000000000002</v>
      </c>
      <c r="I27" s="1" t="s">
        <v>41</v>
      </c>
      <c r="J27" s="1" t="s">
        <v>55</v>
      </c>
      <c r="K27" s="2">
        <v>0.45789999999999997</v>
      </c>
      <c r="L27" s="10" t="s">
        <v>41</v>
      </c>
    </row>
    <row r="28" spans="1:20" ht="43.2" customHeight="1" x14ac:dyDescent="0.3">
      <c r="A28" s="16"/>
      <c r="B28" s="16"/>
      <c r="C28" s="16"/>
      <c r="D28" s="16"/>
      <c r="E28" s="21"/>
      <c r="F28" s="7" t="s">
        <v>12</v>
      </c>
      <c r="G28" s="1" t="s">
        <v>57</v>
      </c>
      <c r="H28" s="2">
        <v>0.49730000000000002</v>
      </c>
      <c r="I28" s="1" t="s">
        <v>41</v>
      </c>
      <c r="J28" s="1" t="s">
        <v>55</v>
      </c>
      <c r="K28" s="2">
        <v>0.76880000000000004</v>
      </c>
      <c r="L28" s="10" t="s">
        <v>41</v>
      </c>
    </row>
    <row r="29" spans="1:20" ht="43.2" customHeight="1" x14ac:dyDescent="0.3">
      <c r="A29" s="20"/>
      <c r="B29" s="20"/>
      <c r="C29" s="20"/>
      <c r="D29" s="20"/>
      <c r="E29" s="22"/>
      <c r="F29" s="7" t="s">
        <v>18</v>
      </c>
      <c r="G29" s="1" t="s">
        <v>55</v>
      </c>
      <c r="H29" s="2">
        <v>0.92279999999999995</v>
      </c>
      <c r="I29" s="1" t="s">
        <v>116</v>
      </c>
      <c r="J29" s="1" t="s">
        <v>115</v>
      </c>
      <c r="K29" s="1" t="s">
        <v>115</v>
      </c>
      <c r="L29" s="10" t="s">
        <v>115</v>
      </c>
    </row>
    <row r="30" spans="1:20" ht="43.2" customHeight="1" x14ac:dyDescent="0.3">
      <c r="A30" s="15">
        <v>10</v>
      </c>
      <c r="B30" s="15" t="s">
        <v>58</v>
      </c>
      <c r="C30" s="15" t="s">
        <v>54</v>
      </c>
      <c r="D30" s="15" t="s">
        <v>59</v>
      </c>
      <c r="E30" s="17">
        <v>0.59470000000000001</v>
      </c>
      <c r="F30" s="7" t="s">
        <v>129</v>
      </c>
      <c r="G30" s="1" t="s">
        <v>60</v>
      </c>
      <c r="H30" s="2">
        <v>0.55249999999999999</v>
      </c>
      <c r="I30" s="1" t="s">
        <v>41</v>
      </c>
      <c r="J30" s="1" t="s">
        <v>59</v>
      </c>
      <c r="K30" s="2">
        <v>0.55020000000000002</v>
      </c>
      <c r="L30" s="10" t="s">
        <v>41</v>
      </c>
    </row>
    <row r="31" spans="1:20" ht="43.2" customHeight="1" x14ac:dyDescent="0.3">
      <c r="A31" s="16"/>
      <c r="B31" s="16"/>
      <c r="C31" s="16"/>
      <c r="D31" s="16"/>
      <c r="E31" s="21"/>
      <c r="F31" s="7" t="s">
        <v>12</v>
      </c>
      <c r="G31" s="1" t="s">
        <v>61</v>
      </c>
      <c r="H31" s="2">
        <v>0.36630000000000001</v>
      </c>
      <c r="I31" s="1" t="s">
        <v>41</v>
      </c>
      <c r="J31" s="1" t="s">
        <v>59</v>
      </c>
      <c r="K31" s="2">
        <v>0.1356</v>
      </c>
      <c r="L31" s="10" t="s">
        <v>41</v>
      </c>
    </row>
    <row r="32" spans="1:20" ht="43.2" customHeight="1" x14ac:dyDescent="0.3">
      <c r="A32" s="20"/>
      <c r="B32" s="20"/>
      <c r="C32" s="20"/>
      <c r="D32" s="20"/>
      <c r="E32" s="22"/>
      <c r="F32" s="7" t="s">
        <v>18</v>
      </c>
      <c r="G32" s="1" t="s">
        <v>59</v>
      </c>
      <c r="H32" s="2">
        <v>0.59740000000000004</v>
      </c>
      <c r="I32" s="1" t="s">
        <v>116</v>
      </c>
      <c r="J32" s="1" t="s">
        <v>115</v>
      </c>
      <c r="K32" s="1" t="s">
        <v>115</v>
      </c>
      <c r="L32" s="10" t="s">
        <v>115</v>
      </c>
    </row>
    <row r="33" spans="1:12" ht="43.2" customHeight="1" x14ac:dyDescent="0.3">
      <c r="A33" s="15">
        <v>11</v>
      </c>
      <c r="B33" s="15" t="s">
        <v>62</v>
      </c>
      <c r="C33" s="15" t="s">
        <v>63</v>
      </c>
      <c r="D33" s="15" t="s">
        <v>64</v>
      </c>
      <c r="E33" s="17">
        <v>0.54379999999999995</v>
      </c>
      <c r="F33" s="7" t="s">
        <v>129</v>
      </c>
      <c r="G33" s="1" t="s">
        <v>65</v>
      </c>
      <c r="H33" s="2">
        <v>0.62360000000000004</v>
      </c>
      <c r="I33" s="1" t="s">
        <v>116</v>
      </c>
      <c r="J33" s="1" t="s">
        <v>66</v>
      </c>
      <c r="K33" s="2">
        <v>0.50929999999999997</v>
      </c>
      <c r="L33" s="10" t="s">
        <v>115</v>
      </c>
    </row>
    <row r="34" spans="1:12" ht="43.2" customHeight="1" x14ac:dyDescent="0.3">
      <c r="A34" s="16"/>
      <c r="B34" s="16"/>
      <c r="C34" s="16"/>
      <c r="D34" s="16"/>
      <c r="E34" s="21"/>
      <c r="F34" s="7" t="s">
        <v>12</v>
      </c>
      <c r="G34" s="1" t="s">
        <v>67</v>
      </c>
      <c r="H34" s="2">
        <v>0.37030000000000002</v>
      </c>
      <c r="I34" s="1" t="s">
        <v>41</v>
      </c>
      <c r="J34" s="1" t="s">
        <v>65</v>
      </c>
      <c r="K34" s="2">
        <v>0.14050000000000001</v>
      </c>
      <c r="L34" s="10" t="s">
        <v>41</v>
      </c>
    </row>
    <row r="35" spans="1:12" ht="43.2" customHeight="1" x14ac:dyDescent="0.3">
      <c r="A35" s="20"/>
      <c r="B35" s="20"/>
      <c r="C35" s="20"/>
      <c r="D35" s="20"/>
      <c r="E35" s="22"/>
      <c r="F35" s="7" t="s">
        <v>18</v>
      </c>
      <c r="G35" s="1" t="s">
        <v>65</v>
      </c>
      <c r="H35" s="2">
        <v>0.54379999999999995</v>
      </c>
      <c r="I35" s="1" t="s">
        <v>116</v>
      </c>
      <c r="J35" s="1" t="s">
        <v>115</v>
      </c>
      <c r="K35" s="1" t="s">
        <v>115</v>
      </c>
      <c r="L35" s="10" t="s">
        <v>115</v>
      </c>
    </row>
    <row r="36" spans="1:12" ht="43.2" customHeight="1" x14ac:dyDescent="0.3">
      <c r="A36" s="15">
        <v>12</v>
      </c>
      <c r="B36" s="15" t="s">
        <v>68</v>
      </c>
      <c r="C36" s="15" t="s">
        <v>63</v>
      </c>
      <c r="D36" s="15" t="s">
        <v>69</v>
      </c>
      <c r="E36" s="17">
        <v>0.53</v>
      </c>
      <c r="F36" s="7" t="s">
        <v>129</v>
      </c>
      <c r="G36" s="1" t="s">
        <v>70</v>
      </c>
      <c r="H36" s="2">
        <v>0.38080000000000003</v>
      </c>
      <c r="I36" s="1" t="s">
        <v>41</v>
      </c>
      <c r="J36" s="1" t="s">
        <v>69</v>
      </c>
      <c r="K36" s="2">
        <v>0.6512</v>
      </c>
      <c r="L36" s="10" t="s">
        <v>41</v>
      </c>
    </row>
    <row r="37" spans="1:12" ht="43.2" customHeight="1" x14ac:dyDescent="0.3">
      <c r="A37" s="16"/>
      <c r="B37" s="16"/>
      <c r="C37" s="16"/>
      <c r="D37" s="16"/>
      <c r="E37" s="21"/>
      <c r="F37" s="7" t="s">
        <v>12</v>
      </c>
      <c r="G37" s="1" t="s">
        <v>70</v>
      </c>
      <c r="H37" s="2">
        <v>0.35749999999999998</v>
      </c>
      <c r="I37" s="1" t="s">
        <v>41</v>
      </c>
      <c r="J37" s="1" t="s">
        <v>69</v>
      </c>
      <c r="K37" s="1" t="s">
        <v>71</v>
      </c>
      <c r="L37" s="10" t="s">
        <v>41</v>
      </c>
    </row>
    <row r="38" spans="1:12" ht="43.2" customHeight="1" x14ac:dyDescent="0.3">
      <c r="A38" s="20"/>
      <c r="B38" s="20"/>
      <c r="C38" s="20"/>
      <c r="D38" s="20"/>
      <c r="E38" s="22"/>
      <c r="F38" s="7" t="s">
        <v>18</v>
      </c>
      <c r="G38" s="1" t="s">
        <v>69</v>
      </c>
      <c r="H38" s="2">
        <v>0.53</v>
      </c>
      <c r="I38" s="1" t="s">
        <v>116</v>
      </c>
      <c r="J38" s="1" t="s">
        <v>115</v>
      </c>
      <c r="K38" s="1" t="s">
        <v>115</v>
      </c>
      <c r="L38" s="10" t="s">
        <v>115</v>
      </c>
    </row>
    <row r="39" spans="1:12" ht="43.2" customHeight="1" x14ac:dyDescent="0.3">
      <c r="A39" s="15">
        <v>13</v>
      </c>
      <c r="B39" s="1" t="s">
        <v>72</v>
      </c>
      <c r="C39" s="1" t="s">
        <v>73</v>
      </c>
      <c r="D39" s="1" t="s">
        <v>74</v>
      </c>
      <c r="E39" s="2">
        <v>0.97299999999999998</v>
      </c>
      <c r="F39" s="7" t="s">
        <v>129</v>
      </c>
      <c r="G39" s="1" t="s">
        <v>74</v>
      </c>
      <c r="H39" s="2">
        <v>0.94599999999999995</v>
      </c>
      <c r="I39" s="1" t="s">
        <v>116</v>
      </c>
      <c r="J39" s="1" t="s">
        <v>75</v>
      </c>
      <c r="K39" s="2">
        <v>0.91839999999999999</v>
      </c>
      <c r="L39" s="10" t="s">
        <v>115</v>
      </c>
    </row>
    <row r="40" spans="1:12" ht="43.2" customHeight="1" x14ac:dyDescent="0.3">
      <c r="A40" s="16"/>
      <c r="B40" s="1"/>
      <c r="C40" s="1"/>
      <c r="D40" s="1"/>
      <c r="E40" s="1"/>
      <c r="F40" s="7" t="s">
        <v>12</v>
      </c>
      <c r="G40" s="1" t="s">
        <v>76</v>
      </c>
      <c r="H40" s="2">
        <v>0.1517</v>
      </c>
      <c r="I40" s="1" t="s">
        <v>41</v>
      </c>
      <c r="J40" s="1" t="s">
        <v>74</v>
      </c>
      <c r="K40" s="2">
        <v>0.2487</v>
      </c>
      <c r="L40" s="10" t="s">
        <v>41</v>
      </c>
    </row>
    <row r="41" spans="1:12" ht="43.2" customHeight="1" x14ac:dyDescent="0.3">
      <c r="A41" s="20"/>
      <c r="B41" s="1"/>
      <c r="C41" s="1"/>
      <c r="D41" s="1"/>
      <c r="E41" s="1"/>
      <c r="F41" s="7" t="s">
        <v>18</v>
      </c>
      <c r="G41" s="1" t="s">
        <v>74</v>
      </c>
      <c r="H41" s="2">
        <v>0.97299999999999998</v>
      </c>
      <c r="I41" s="1" t="s">
        <v>116</v>
      </c>
      <c r="J41" s="1" t="s">
        <v>115</v>
      </c>
      <c r="K41" s="1" t="s">
        <v>115</v>
      </c>
      <c r="L41" s="10" t="s">
        <v>115</v>
      </c>
    </row>
    <row r="42" spans="1:12" ht="43.2" customHeight="1" x14ac:dyDescent="0.3">
      <c r="A42" s="15">
        <v>14</v>
      </c>
      <c r="B42" s="15" t="s">
        <v>77</v>
      </c>
      <c r="C42" s="15" t="s">
        <v>78</v>
      </c>
      <c r="D42" s="15" t="s">
        <v>77</v>
      </c>
      <c r="E42" s="17">
        <v>0.89610000000000001</v>
      </c>
      <c r="F42" s="7" t="s">
        <v>129</v>
      </c>
      <c r="G42" s="1" t="s">
        <v>77</v>
      </c>
      <c r="H42" s="1">
        <v>18.02</v>
      </c>
      <c r="I42" s="1" t="s">
        <v>116</v>
      </c>
      <c r="J42" s="1" t="s">
        <v>79</v>
      </c>
      <c r="K42" s="2">
        <v>0.48020000000000002</v>
      </c>
      <c r="L42" s="10" t="s">
        <v>115</v>
      </c>
    </row>
    <row r="43" spans="1:12" ht="43.2" customHeight="1" x14ac:dyDescent="0.3">
      <c r="A43" s="16"/>
      <c r="B43" s="16"/>
      <c r="C43" s="16"/>
      <c r="D43" s="16"/>
      <c r="E43" s="21"/>
      <c r="F43" s="7" t="s">
        <v>12</v>
      </c>
      <c r="G43" s="1" t="s">
        <v>80</v>
      </c>
      <c r="H43" s="2">
        <v>0.23380000000000001</v>
      </c>
      <c r="I43" s="1" t="s">
        <v>41</v>
      </c>
      <c r="J43" s="1" t="s">
        <v>79</v>
      </c>
      <c r="K43" s="2">
        <v>0.52039999999999997</v>
      </c>
      <c r="L43" s="10" t="s">
        <v>41</v>
      </c>
    </row>
    <row r="44" spans="1:12" ht="43.2" customHeight="1" x14ac:dyDescent="0.3">
      <c r="A44" s="20"/>
      <c r="B44" s="20"/>
      <c r="C44" s="20"/>
      <c r="D44" s="20"/>
      <c r="E44" s="22"/>
      <c r="F44" s="7" t="s">
        <v>18</v>
      </c>
      <c r="G44" s="1" t="s">
        <v>77</v>
      </c>
      <c r="H44" s="2">
        <v>0.89610000000000001</v>
      </c>
      <c r="I44" s="1" t="s">
        <v>116</v>
      </c>
      <c r="J44" s="1" t="s">
        <v>115</v>
      </c>
      <c r="K44" s="1" t="s">
        <v>115</v>
      </c>
      <c r="L44" s="10" t="s">
        <v>115</v>
      </c>
    </row>
    <row r="45" spans="1:12" ht="43.2" customHeight="1" x14ac:dyDescent="0.3">
      <c r="A45" s="15">
        <v>15</v>
      </c>
      <c r="B45" s="15" t="s">
        <v>81</v>
      </c>
      <c r="C45" s="15" t="s">
        <v>78</v>
      </c>
      <c r="D45" s="15" t="s">
        <v>82</v>
      </c>
      <c r="E45" s="17">
        <v>0.99890000000000001</v>
      </c>
      <c r="F45" s="7" t="s">
        <v>129</v>
      </c>
      <c r="G45" s="1" t="s">
        <v>83</v>
      </c>
      <c r="H45" s="2">
        <v>0.95750000000000002</v>
      </c>
      <c r="I45" s="1" t="s">
        <v>116</v>
      </c>
      <c r="J45" s="1" t="s">
        <v>84</v>
      </c>
      <c r="K45" s="2">
        <v>0.99819999999999998</v>
      </c>
      <c r="L45" s="10" t="s">
        <v>115</v>
      </c>
    </row>
    <row r="46" spans="1:12" ht="43.2" customHeight="1" x14ac:dyDescent="0.3">
      <c r="A46" s="16"/>
      <c r="B46" s="16"/>
      <c r="C46" s="16"/>
      <c r="D46" s="16"/>
      <c r="E46" s="21"/>
      <c r="F46" s="7" t="s">
        <v>12</v>
      </c>
      <c r="G46" s="1" t="s">
        <v>85</v>
      </c>
      <c r="H46" s="2">
        <v>3.1600000000000003E-2</v>
      </c>
      <c r="I46" s="1" t="s">
        <v>41</v>
      </c>
      <c r="J46" s="1" t="s">
        <v>83</v>
      </c>
      <c r="K46" s="2">
        <v>6.08E-2</v>
      </c>
      <c r="L46" s="10" t="s">
        <v>41</v>
      </c>
    </row>
    <row r="47" spans="1:12" ht="43.2" customHeight="1" x14ac:dyDescent="0.3">
      <c r="A47" s="20"/>
      <c r="B47" s="20"/>
      <c r="C47" s="20"/>
      <c r="D47" s="20"/>
      <c r="E47" s="22"/>
      <c r="F47" s="7" t="s">
        <v>18</v>
      </c>
      <c r="G47" s="1" t="s">
        <v>83</v>
      </c>
      <c r="H47" s="2">
        <v>0.99890000000000001</v>
      </c>
      <c r="I47" s="1" t="s">
        <v>116</v>
      </c>
      <c r="J47" s="1" t="s">
        <v>115</v>
      </c>
      <c r="K47" s="1" t="s">
        <v>115</v>
      </c>
      <c r="L47" s="10" t="s">
        <v>115</v>
      </c>
    </row>
    <row r="48" spans="1:12" ht="43.2" customHeight="1" x14ac:dyDescent="0.3">
      <c r="A48" s="15">
        <v>16</v>
      </c>
      <c r="B48" s="15" t="s">
        <v>86</v>
      </c>
      <c r="C48" s="15" t="s">
        <v>87</v>
      </c>
      <c r="D48" s="15" t="s">
        <v>88</v>
      </c>
      <c r="E48" s="17">
        <v>0.62770000000000004</v>
      </c>
      <c r="F48" s="7" t="s">
        <v>129</v>
      </c>
      <c r="G48" s="1" t="s">
        <v>89</v>
      </c>
      <c r="H48" s="2">
        <v>0.30099999999999999</v>
      </c>
      <c r="I48" s="1" t="s">
        <v>41</v>
      </c>
      <c r="J48" s="1" t="s">
        <v>90</v>
      </c>
      <c r="K48" s="1">
        <v>63.9</v>
      </c>
      <c r="L48" s="10" t="s">
        <v>41</v>
      </c>
    </row>
    <row r="49" spans="1:12" ht="43.2" customHeight="1" x14ac:dyDescent="0.3">
      <c r="A49" s="16"/>
      <c r="B49" s="16"/>
      <c r="C49" s="16"/>
      <c r="D49" s="16"/>
      <c r="E49" s="21"/>
      <c r="F49" s="7" t="s">
        <v>12</v>
      </c>
      <c r="G49" s="1" t="s">
        <v>91</v>
      </c>
      <c r="H49" s="2">
        <v>0.1474</v>
      </c>
      <c r="I49" s="1" t="s">
        <v>41</v>
      </c>
      <c r="J49" s="1" t="s">
        <v>90</v>
      </c>
      <c r="K49" s="2">
        <v>0.14879999999999999</v>
      </c>
      <c r="L49" s="10" t="s">
        <v>41</v>
      </c>
    </row>
    <row r="50" spans="1:12" ht="43.2" customHeight="1" x14ac:dyDescent="0.3">
      <c r="A50" s="20"/>
      <c r="B50" s="20"/>
      <c r="C50" s="20"/>
      <c r="D50" s="20"/>
      <c r="E50" s="22"/>
      <c r="F50" s="7" t="s">
        <v>18</v>
      </c>
      <c r="G50" s="1" t="s">
        <v>90</v>
      </c>
      <c r="H50" s="2">
        <v>0.62770000000000004</v>
      </c>
      <c r="I50" s="1" t="s">
        <v>116</v>
      </c>
      <c r="J50" s="1" t="s">
        <v>115</v>
      </c>
      <c r="K50" s="1" t="s">
        <v>115</v>
      </c>
      <c r="L50" s="10" t="s">
        <v>115</v>
      </c>
    </row>
    <row r="51" spans="1:12" ht="43.2" customHeight="1" x14ac:dyDescent="0.3">
      <c r="A51" s="15">
        <v>17</v>
      </c>
      <c r="B51" s="15" t="s">
        <v>92</v>
      </c>
      <c r="C51" s="15" t="s">
        <v>87</v>
      </c>
      <c r="D51" s="15" t="s">
        <v>93</v>
      </c>
      <c r="E51" s="17">
        <v>0.997</v>
      </c>
      <c r="F51" s="7" t="s">
        <v>129</v>
      </c>
      <c r="G51" s="1" t="s">
        <v>93</v>
      </c>
      <c r="H51" s="2">
        <v>0.9798</v>
      </c>
      <c r="I51" s="1" t="s">
        <v>116</v>
      </c>
      <c r="J51" s="1" t="s">
        <v>93</v>
      </c>
      <c r="K51" s="2">
        <v>0.99350000000000005</v>
      </c>
      <c r="L51" s="10" t="s">
        <v>115</v>
      </c>
    </row>
    <row r="52" spans="1:12" ht="43.2" customHeight="1" x14ac:dyDescent="0.3">
      <c r="A52" s="16"/>
      <c r="B52" s="16"/>
      <c r="C52" s="16"/>
      <c r="D52" s="16"/>
      <c r="E52" s="21"/>
      <c r="F52" s="7" t="s">
        <v>12</v>
      </c>
      <c r="G52" s="1" t="s">
        <v>94</v>
      </c>
      <c r="H52" s="2">
        <v>0.87790000000000001</v>
      </c>
      <c r="I52" s="1" t="s">
        <v>41</v>
      </c>
      <c r="J52" s="1" t="s">
        <v>95</v>
      </c>
      <c r="K52" s="1">
        <v>45.2</v>
      </c>
      <c r="L52" s="10" t="s">
        <v>41</v>
      </c>
    </row>
    <row r="53" spans="1:12" ht="43.2" customHeight="1" x14ac:dyDescent="0.3">
      <c r="A53" s="20"/>
      <c r="B53" s="20"/>
      <c r="C53" s="20"/>
      <c r="D53" s="20"/>
      <c r="E53" s="22"/>
      <c r="F53" s="7" t="s">
        <v>18</v>
      </c>
      <c r="G53" s="1" t="s">
        <v>93</v>
      </c>
      <c r="H53" s="2">
        <v>0.997</v>
      </c>
      <c r="I53" s="1" t="s">
        <v>116</v>
      </c>
      <c r="J53" s="1" t="s">
        <v>115</v>
      </c>
      <c r="K53" s="1" t="s">
        <v>115</v>
      </c>
      <c r="L53" s="10" t="s">
        <v>115</v>
      </c>
    </row>
    <row r="54" spans="1:12" ht="43.2" customHeight="1" x14ac:dyDescent="0.3">
      <c r="A54" s="15">
        <v>18</v>
      </c>
      <c r="B54" s="15" t="s">
        <v>97</v>
      </c>
      <c r="C54" s="15" t="s">
        <v>102</v>
      </c>
      <c r="D54" s="15" t="s">
        <v>98</v>
      </c>
      <c r="E54" s="17">
        <v>0.93899999999999995</v>
      </c>
      <c r="F54" s="7" t="s">
        <v>129</v>
      </c>
      <c r="G54" s="1" t="s">
        <v>96</v>
      </c>
      <c r="H54" s="2">
        <v>0.78059999999999996</v>
      </c>
      <c r="I54" s="1" t="s">
        <v>41</v>
      </c>
      <c r="J54" s="1" t="s">
        <v>99</v>
      </c>
      <c r="K54" s="2">
        <v>0.62019999999999997</v>
      </c>
      <c r="L54" s="10" t="s">
        <v>41</v>
      </c>
    </row>
    <row r="55" spans="1:12" ht="43.2" customHeight="1" x14ac:dyDescent="0.3">
      <c r="A55" s="16"/>
      <c r="B55" s="16"/>
      <c r="C55" s="16"/>
      <c r="D55" s="16"/>
      <c r="E55" s="21"/>
      <c r="F55" s="7" t="s">
        <v>12</v>
      </c>
      <c r="G55" s="1" t="s">
        <v>100</v>
      </c>
      <c r="H55" s="2">
        <v>7.1199999999999999E-2</v>
      </c>
      <c r="I55" s="1" t="s">
        <v>41</v>
      </c>
      <c r="J55" s="1" t="s">
        <v>99</v>
      </c>
      <c r="K55" s="1">
        <v>46.8</v>
      </c>
      <c r="L55" s="10" t="s">
        <v>41</v>
      </c>
    </row>
    <row r="56" spans="1:12" ht="43.2" customHeight="1" x14ac:dyDescent="0.3">
      <c r="A56" s="20"/>
      <c r="B56" s="20"/>
      <c r="C56" s="20"/>
      <c r="D56" s="20"/>
      <c r="E56" s="22"/>
      <c r="F56" s="7" t="s">
        <v>18</v>
      </c>
      <c r="G56" s="1" t="s">
        <v>99</v>
      </c>
      <c r="H56" s="2">
        <v>0.93899999999999995</v>
      </c>
      <c r="I56" s="1" t="s">
        <v>116</v>
      </c>
      <c r="J56" s="1" t="s">
        <v>115</v>
      </c>
      <c r="K56" s="1" t="s">
        <v>115</v>
      </c>
      <c r="L56" s="10" t="s">
        <v>115</v>
      </c>
    </row>
    <row r="57" spans="1:12" ht="43.2" customHeight="1" x14ac:dyDescent="0.3">
      <c r="A57" s="15">
        <v>19</v>
      </c>
      <c r="B57" s="15" t="s">
        <v>101</v>
      </c>
      <c r="C57" s="15" t="s">
        <v>102</v>
      </c>
      <c r="D57" s="15" t="s">
        <v>103</v>
      </c>
      <c r="E57" s="17">
        <v>0.35730000000000001</v>
      </c>
      <c r="F57" s="7" t="s">
        <v>129</v>
      </c>
      <c r="G57" s="1" t="s">
        <v>104</v>
      </c>
      <c r="H57" s="2">
        <v>0.48599999999999999</v>
      </c>
      <c r="I57" s="1" t="s">
        <v>41</v>
      </c>
      <c r="J57" s="1" t="s">
        <v>105</v>
      </c>
      <c r="K57" s="2">
        <v>0.39979999999999999</v>
      </c>
      <c r="L57" s="10" t="s">
        <v>42</v>
      </c>
    </row>
    <row r="58" spans="1:12" ht="43.2" customHeight="1" x14ac:dyDescent="0.3">
      <c r="A58" s="16"/>
      <c r="B58" s="16"/>
      <c r="C58" s="16"/>
      <c r="D58" s="16"/>
      <c r="E58" s="21"/>
      <c r="F58" s="7" t="s">
        <v>12</v>
      </c>
      <c r="G58" s="1" t="s">
        <v>106</v>
      </c>
      <c r="H58" s="2">
        <v>6.6600000000000006E-2</v>
      </c>
      <c r="I58" s="1" t="s">
        <v>41</v>
      </c>
      <c r="J58" s="1" t="s">
        <v>107</v>
      </c>
      <c r="K58" s="2">
        <v>4.0300000000000002E-2</v>
      </c>
      <c r="L58" s="10" t="s">
        <v>42</v>
      </c>
    </row>
    <row r="59" spans="1:12" ht="43.2" customHeight="1" x14ac:dyDescent="0.3">
      <c r="A59" s="20"/>
      <c r="B59" s="20"/>
      <c r="C59" s="20"/>
      <c r="D59" s="20"/>
      <c r="E59" s="22"/>
      <c r="F59" s="7" t="s">
        <v>18</v>
      </c>
      <c r="G59" s="1" t="s">
        <v>103</v>
      </c>
      <c r="H59" s="2">
        <v>0.35730000000000001</v>
      </c>
      <c r="I59" s="1" t="s">
        <v>116</v>
      </c>
      <c r="J59" s="1" t="s">
        <v>115</v>
      </c>
      <c r="K59" s="1" t="s">
        <v>115</v>
      </c>
      <c r="L59" s="10" t="s">
        <v>115</v>
      </c>
    </row>
    <row r="60" spans="1:12" ht="43.2" customHeight="1" x14ac:dyDescent="0.3">
      <c r="A60" s="15">
        <v>20</v>
      </c>
      <c r="B60" s="15" t="s">
        <v>108</v>
      </c>
      <c r="C60" s="15" t="s">
        <v>102</v>
      </c>
      <c r="D60" s="17" t="s">
        <v>109</v>
      </c>
      <c r="E60" s="17">
        <v>0.98</v>
      </c>
      <c r="F60" s="7" t="s">
        <v>129</v>
      </c>
      <c r="G60" s="1" t="s">
        <v>110</v>
      </c>
      <c r="H60" s="2">
        <v>0.37590000000000001</v>
      </c>
      <c r="I60" s="1" t="s">
        <v>41</v>
      </c>
      <c r="J60" s="1" t="s">
        <v>111</v>
      </c>
      <c r="K60" s="2">
        <v>0.70760000000000001</v>
      </c>
      <c r="L60" s="10" t="s">
        <v>41</v>
      </c>
    </row>
    <row r="61" spans="1:12" ht="43.2" customHeight="1" x14ac:dyDescent="0.3">
      <c r="A61" s="16"/>
      <c r="B61" s="16"/>
      <c r="C61" s="16"/>
      <c r="D61" s="21"/>
      <c r="E61" s="21"/>
      <c r="F61" s="7" t="s">
        <v>12</v>
      </c>
      <c r="G61" s="1" t="s">
        <v>112</v>
      </c>
      <c r="H61" s="2">
        <v>0.13350000000000001</v>
      </c>
      <c r="I61" s="1" t="s">
        <v>41</v>
      </c>
      <c r="J61" s="1" t="s">
        <v>113</v>
      </c>
      <c r="K61" s="2">
        <v>0.51559999999999995</v>
      </c>
      <c r="L61" s="10" t="s">
        <v>20</v>
      </c>
    </row>
    <row r="62" spans="1:12" ht="43.2" customHeight="1" x14ac:dyDescent="0.3">
      <c r="A62" s="20"/>
      <c r="B62" s="20"/>
      <c r="C62" s="20"/>
      <c r="D62" s="22"/>
      <c r="E62" s="22"/>
      <c r="F62" s="7" t="s">
        <v>18</v>
      </c>
      <c r="G62" s="1" t="s">
        <v>114</v>
      </c>
      <c r="H62" s="2">
        <v>0.98</v>
      </c>
      <c r="I62" s="1" t="s">
        <v>116</v>
      </c>
      <c r="J62" s="1" t="s">
        <v>115</v>
      </c>
      <c r="K62" s="1" t="s">
        <v>115</v>
      </c>
      <c r="L62" s="10" t="s">
        <v>115</v>
      </c>
    </row>
  </sheetData>
  <mergeCells count="95">
    <mergeCell ref="B15:B17"/>
    <mergeCell ref="C15:C17"/>
    <mergeCell ref="D15:D17"/>
    <mergeCell ref="E15:E17"/>
    <mergeCell ref="B60:B62"/>
    <mergeCell ref="C60:C62"/>
    <mergeCell ref="D60:D62"/>
    <mergeCell ref="E60:E62"/>
    <mergeCell ref="A60:A62"/>
    <mergeCell ref="A54:A56"/>
    <mergeCell ref="B54:B56"/>
    <mergeCell ref="C54:C56"/>
    <mergeCell ref="D54:D56"/>
    <mergeCell ref="E54:E56"/>
    <mergeCell ref="A57:A59"/>
    <mergeCell ref="B57:B59"/>
    <mergeCell ref="C57:C59"/>
    <mergeCell ref="D57:D59"/>
    <mergeCell ref="E57:E59"/>
    <mergeCell ref="A48:A50"/>
    <mergeCell ref="B48:B50"/>
    <mergeCell ref="C48:C50"/>
    <mergeCell ref="D48:D50"/>
    <mergeCell ref="E48:E50"/>
    <mergeCell ref="A51:A53"/>
    <mergeCell ref="B51:B53"/>
    <mergeCell ref="C51:C53"/>
    <mergeCell ref="D51:D53"/>
    <mergeCell ref="E51:E53"/>
    <mergeCell ref="E42:E44"/>
    <mergeCell ref="A45:A47"/>
    <mergeCell ref="B45:B47"/>
    <mergeCell ref="C45:C47"/>
    <mergeCell ref="D45:D47"/>
    <mergeCell ref="E45:E47"/>
    <mergeCell ref="D42:D44"/>
    <mergeCell ref="A42:A44"/>
    <mergeCell ref="B42:B44"/>
    <mergeCell ref="C42:C44"/>
    <mergeCell ref="A39:A41"/>
    <mergeCell ref="C33:C35"/>
    <mergeCell ref="A3:A5"/>
    <mergeCell ref="A6:A8"/>
    <mergeCell ref="A9:A11"/>
    <mergeCell ref="A12:A14"/>
    <mergeCell ref="A15:A17"/>
    <mergeCell ref="B36:B38"/>
    <mergeCell ref="C36:C38"/>
    <mergeCell ref="B12:B14"/>
    <mergeCell ref="C12:C14"/>
    <mergeCell ref="B6:B8"/>
    <mergeCell ref="C6:C8"/>
    <mergeCell ref="B3:B5"/>
    <mergeCell ref="C3:C5"/>
    <mergeCell ref="B24:B26"/>
    <mergeCell ref="D36:D38"/>
    <mergeCell ref="E36:E38"/>
    <mergeCell ref="A18:A20"/>
    <mergeCell ref="A24:A26"/>
    <mergeCell ref="A27:A29"/>
    <mergeCell ref="A30:A32"/>
    <mergeCell ref="B33:B35"/>
    <mergeCell ref="B27:B29"/>
    <mergeCell ref="A21:A23"/>
    <mergeCell ref="B21:B23"/>
    <mergeCell ref="A33:A35"/>
    <mergeCell ref="A36:A38"/>
    <mergeCell ref="B30:B32"/>
    <mergeCell ref="C30:C32"/>
    <mergeCell ref="D30:D32"/>
    <mergeCell ref="E30:E32"/>
    <mergeCell ref="D33:D35"/>
    <mergeCell ref="E33:E35"/>
    <mergeCell ref="C24:C26"/>
    <mergeCell ref="D24:D26"/>
    <mergeCell ref="E24:E26"/>
    <mergeCell ref="C27:C29"/>
    <mergeCell ref="D27:D29"/>
    <mergeCell ref="E27:E29"/>
    <mergeCell ref="N1:S1"/>
    <mergeCell ref="M1:M1048576"/>
    <mergeCell ref="D3:D5"/>
    <mergeCell ref="E3:E5"/>
    <mergeCell ref="A1:L1"/>
    <mergeCell ref="D6:D8"/>
    <mergeCell ref="E6:E8"/>
    <mergeCell ref="B9:B11"/>
    <mergeCell ref="C9:C11"/>
    <mergeCell ref="D9:D11"/>
    <mergeCell ref="E9:E11"/>
    <mergeCell ref="D12:D14"/>
    <mergeCell ref="E12:E14"/>
    <mergeCell ref="C21:C23"/>
    <mergeCell ref="D21:D23"/>
    <mergeCell ref="E21:E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Hiba Fathima</dc:creator>
  <cp:lastModifiedBy>Hiba Fathima</cp:lastModifiedBy>
  <cp:lastPrinted>2026-08-01T11:58:31Z</cp:lastPrinted>
  <dcterms:created xsi:type="dcterms:W3CDTF">2026-08-01T08:32:55Z</dcterms:created>
  <dcterms:modified xsi:type="dcterms:W3CDTF">2026-08-05T10:05:16Z</dcterms:modified>
</cp:coreProperties>
</file>